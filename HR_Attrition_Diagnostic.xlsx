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11A8721E-2F5A-4BDE-8CD1-E0549D547507}" xr6:coauthVersionLast="47" xr6:coauthVersionMax="47" xr10:uidLastSave="{00000000-0000-0000-0000-000000000000}"/>
  <bookViews>
    <workbookView xWindow="0" yWindow="612" windowWidth="17280" windowHeight="8880" activeTab="1" xr2:uid="{01AE86C1-6597-4A97-8FBD-36D88E7104D6}"/>
  </bookViews>
  <sheets>
    <sheet name="HR_data" sheetId="1" r:id="rId1"/>
    <sheet name="HR_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2" l="1"/>
  <c r="H6" i="2"/>
  <c r="H5" i="2"/>
  <c r="H4" i="2"/>
  <c r="D15" i="2"/>
  <c r="C22" i="2" a="1"/>
  <c r="C22" i="2" s="1"/>
  <c r="B22" i="2" a="1"/>
  <c r="B22" i="2" s="1"/>
  <c r="A22" i="2" a="1"/>
  <c r="A22" i="2" s="1"/>
  <c r="B18" i="2"/>
  <c r="D18" i="2"/>
  <c r="D17" i="2"/>
  <c r="D16" i="2"/>
  <c r="C18" i="2"/>
  <c r="C15" i="2"/>
  <c r="C17" i="2"/>
  <c r="C16" i="2"/>
  <c r="B17" i="2"/>
  <c r="B16" i="2"/>
  <c r="B15" i="2"/>
  <c r="C10" i="2"/>
  <c r="D10" i="2" s="1"/>
  <c r="C11" i="2"/>
  <c r="D11" i="2" s="1"/>
  <c r="C9" i="2"/>
  <c r="B10" i="2"/>
  <c r="B11" i="2"/>
  <c r="B9" i="2"/>
  <c r="D4" i="2"/>
  <c r="D5" i="2"/>
  <c r="C5" i="2"/>
  <c r="C4" i="2"/>
  <c r="B5" i="2"/>
  <c r="B4" i="2"/>
  <c r="D3" i="2"/>
  <c r="C3" i="2"/>
  <c r="B3" i="2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D22" i="2" l="1" a="1"/>
  <c r="D9" i="2"/>
  <c r="D22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<sst xmlns="http://schemas.openxmlformats.org/spreadsheetml/2006/main" count="296" uniqueCount="94">
  <si>
    <t>Emp_ID</t>
  </si>
  <si>
    <t>Name</t>
  </si>
  <si>
    <t>Department</t>
  </si>
  <si>
    <t>Manager</t>
  </si>
  <si>
    <t>Tenure_Yrs</t>
  </si>
  <si>
    <t>Salary_Band</t>
  </si>
  <si>
    <t>Monthly_Income</t>
  </si>
  <si>
    <t>Attrition</t>
  </si>
  <si>
    <t>Risk_Score</t>
  </si>
  <si>
    <t>John Davis</t>
  </si>
  <si>
    <t>Sales</t>
  </si>
  <si>
    <t>Robert Chen</t>
  </si>
  <si>
    <t>Low</t>
  </si>
  <si>
    <t>No</t>
  </si>
  <si>
    <t>Sarah Miller</t>
  </si>
  <si>
    <t>Marketing</t>
  </si>
  <si>
    <t>Lisa Wong</t>
  </si>
  <si>
    <t>Medium</t>
  </si>
  <si>
    <t>Yes</t>
  </si>
  <si>
    <t>Michael Brown</t>
  </si>
  <si>
    <t>Emily Wilson</t>
  </si>
  <si>
    <t>Engineering</t>
  </si>
  <si>
    <t>David Kim</t>
  </si>
  <si>
    <t>High</t>
  </si>
  <si>
    <t>James Lee</t>
  </si>
  <si>
    <t>Linda Garcia</t>
  </si>
  <si>
    <t>Robert Taylor</t>
  </si>
  <si>
    <t>Maria Martinez</t>
  </si>
  <si>
    <t>Sarah Johnson</t>
  </si>
  <si>
    <t>David Anderson</t>
  </si>
  <si>
    <t>Patricia Thomas</t>
  </si>
  <si>
    <t>Christopher Jackson</t>
  </si>
  <si>
    <t>Jennifer White</t>
  </si>
  <si>
    <t>Matthew Harris</t>
  </si>
  <si>
    <t>Lisa Martin</t>
  </si>
  <si>
    <t>Kevin Thompson</t>
  </si>
  <si>
    <t>Brian Garcia</t>
  </si>
  <si>
    <t>Nancy Martinez</t>
  </si>
  <si>
    <t>Daniel Rodriguez</t>
  </si>
  <si>
    <t>Amanda Lewis</t>
  </si>
  <si>
    <t>Mark Walker</t>
  </si>
  <si>
    <t>Melissa Hall</t>
  </si>
  <si>
    <t>Steven Allen</t>
  </si>
  <si>
    <t>Andrew Young</t>
  </si>
  <si>
    <t>Jessica King</t>
  </si>
  <si>
    <t>Scott Wright</t>
  </si>
  <si>
    <t>Ashley Scott</t>
  </si>
  <si>
    <t>Brandon Green</t>
  </si>
  <si>
    <t>Rebecca Adams</t>
  </si>
  <si>
    <t>Nicholas Baker</t>
  </si>
  <si>
    <t>Samantha Nelson</t>
  </si>
  <si>
    <t>Ryan Carter</t>
  </si>
  <si>
    <t>Heather Mitchell</t>
  </si>
  <si>
    <t>Joshua Perez</t>
  </si>
  <si>
    <t>Amber Roberts</t>
  </si>
  <si>
    <t>Jacob Turner</t>
  </si>
  <si>
    <t>Danielle Phillips</t>
  </si>
  <si>
    <t>William Campbell</t>
  </si>
  <si>
    <t>Victoria Parker</t>
  </si>
  <si>
    <t>Tyler Evans</t>
  </si>
  <si>
    <t>Lauren Edwards</t>
  </si>
  <si>
    <t>Charles Collins</t>
  </si>
  <si>
    <t>Rachel Stewart</t>
  </si>
  <si>
    <t>Morgan Sanchez</t>
  </si>
  <si>
    <t>Jordan Morris</t>
  </si>
  <si>
    <t>Cameron Rogers</t>
  </si>
  <si>
    <t>Taylor Reed</t>
  </si>
  <si>
    <t>Casey Cook</t>
  </si>
  <si>
    <t>Jamie Bailey</t>
  </si>
  <si>
    <t>Jesse Bell</t>
  </si>
  <si>
    <t>Alex Morgan</t>
  </si>
  <si>
    <t>Attrition_flag</t>
  </si>
  <si>
    <t>Attrition by Department</t>
  </si>
  <si>
    <t>Total Employees</t>
  </si>
  <si>
    <t>Attrition Count</t>
  </si>
  <si>
    <t>Attrition Rate</t>
  </si>
  <si>
    <t>Attrition by Salary Band</t>
  </si>
  <si>
    <t>Salary Band</t>
  </si>
  <si>
    <t>Attrition by Tenure</t>
  </si>
  <si>
    <t>Tenure Group</t>
  </si>
  <si>
    <t>&lt; 1 Year</t>
  </si>
  <si>
    <t>1-2 Years</t>
  </si>
  <si>
    <t>3-5 Years</t>
  </si>
  <si>
    <t>6+ Years</t>
  </si>
  <si>
    <t>Attrition by Manager</t>
  </si>
  <si>
    <t>Managers</t>
  </si>
  <si>
    <t>Total per Manager</t>
  </si>
  <si>
    <t>Attrition per Manager</t>
  </si>
  <si>
    <t>ATTRITION DRIVERS - EXECUTIVE SUMMARY</t>
  </si>
  <si>
    <t>Top Attrition Drivers:</t>
  </si>
  <si>
    <t>Highest Attrition Department</t>
  </si>
  <si>
    <t>Highest Attrition Salary Band</t>
  </si>
  <si>
    <t>Highest Attrition Tenure Group</t>
  </si>
  <si>
    <t>Highest Attrition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</si>
</sst>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4" borderId="1" xfId="0" applyFill="1" applyBorder="1"/>
    <xf numFmtId="49" fontId="0" fillId="0" borderId="1" xfId="0" applyNumberFormat="1" applyBorder="1"/>
    <xf numFmtId="0" fontId="0" fillId="0" borderId="1" xfId="0" applyBorder="1"/>
    <xf numFmtId="0" fontId="0" fillId="4" borderId="1" xfId="0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2" borderId="6" xfId="0" applyFill="1" applyBorder="1" applyAlignment="1">
      <alignment horizontal="left"/>
    </xf>
  </cellXfs>
  <cellStyles count="1">
    <cellStyle name="Normal" xfId="0" builtinId="0"/>
  </cellStyles>
  <dxfs count="8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B5E997-1FEE-45C3-81DE-70342BAEA916}" name="tbl_hr" displayName="tbl_hr" ref="A1:J51" totalsRowShown="0" headerRowDxfId="7">
  <autoFilter ref="A1:J51" xr:uid="{AFB5E997-1FEE-45C3-81DE-70342BAEA916}"/>
  <tableColumns count="10">
    <tableColumn id="1" xr3:uid="{B976E47F-E1D3-4A66-A897-D9F99043F75D}" name="Emp_ID" dataDxfId="6"/>
    <tableColumn id="2" xr3:uid="{1997E0E6-4374-4A75-AFA4-D26CA2270DA3}" name="Name"/>
    <tableColumn id="3" xr3:uid="{464306FD-29FC-4A26-9DB5-504E0DC1651E}" name="Department"/>
    <tableColumn id="4" xr3:uid="{F36C14A9-6B24-4144-B0D2-09031639F895}" name="Manager"/>
    <tableColumn id="5" xr3:uid="{DE836385-43D6-4C85-8C04-31BDE5C45455}" name="Tenure_Yrs" dataDxfId="5"/>
    <tableColumn id="6" xr3:uid="{1B1042DA-8305-4601-BFA5-3AADE89845EA}" name="Salary_Band" dataDxfId="4"/>
    <tableColumn id="7" xr3:uid="{8884F201-471C-46EC-8CE9-FBD59F433FCA}" name="Monthly_Income" dataDxfId="3"/>
    <tableColumn id="8" xr3:uid="{439EBC79-D39E-4D27-B2B9-99815D64C5FD}" name="Attrition" dataDxfId="2"/>
    <tableColumn id="11" xr3:uid="{8CBE3BA7-B2E0-4E0B-9051-CB0715F160B1}" name="Attrition_flag" dataDxfId="1">
      <calculatedColumnFormula>IF(H2="Yes", 1, 0)</calculatedColumnFormula>
    </tableColumn>
    <tableColumn id="9" xr3:uid="{EA63A99A-73BA-49A7-94E4-D0C199F3D172}" name="Risk_Score" dataDxfId="0">
      <calculatedColumnFormula>IF(AND(E2&lt;=2, F2="Low", H2="No"), "High Risk",
 IF(AND(E2&lt;=1, F2="Low"), "Critical Risk",
 IF(AND(H2="No", F2="Low"), "Medium Risk",
 IF(H2="Yes", "Already Left", "Low Risk"))))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64446-83AA-4D5F-964D-FB358FA9F570}">
  <dimension ref="A1:J51"/>
  <sheetViews>
    <sheetView workbookViewId="0">
      <selection activeCell="I10" sqref="I10"/>
    </sheetView>
  </sheetViews>
  <sheetFormatPr defaultRowHeight="15" x14ac:dyDescent="0.25"/>
  <cols>
    <col min="1" max="1" width="8.90625" style="1" customWidth="1"/>
    <col min="2" max="2" width="20.7265625" customWidth="1"/>
    <col min="3" max="3" width="12.36328125" customWidth="1"/>
    <col min="4" max="4" width="13.7265625" customWidth="1"/>
    <col min="5" max="5" width="12.36328125" style="1" customWidth="1"/>
    <col min="6" max="6" width="15.453125" style="1" customWidth="1"/>
    <col min="7" max="7" width="16.453125" style="1" customWidth="1"/>
    <col min="8" max="8" width="11.26953125" style="1" customWidth="1"/>
    <col min="9" max="9" width="12.08984375" customWidth="1"/>
    <col min="10" max="10" width="12.9062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71</v>
      </c>
      <c r="J1" s="1" t="s">
        <v>8</v>
      </c>
    </row>
    <row r="2" spans="1:10" x14ac:dyDescent="0.25">
      <c r="A2" s="1">
        <v>1001</v>
      </c>
      <c r="B2" t="s">
        <v>9</v>
      </c>
      <c r="C2" t="s">
        <v>10</v>
      </c>
      <c r="D2" t="s">
        <v>11</v>
      </c>
      <c r="E2" s="1">
        <v>2</v>
      </c>
      <c r="F2" s="1" t="s">
        <v>12</v>
      </c>
      <c r="G2" s="1">
        <v>3200</v>
      </c>
      <c r="H2" s="1" t="s">
        <v>13</v>
      </c>
      <c r="I2" s="1">
        <f t="shared" ref="I2:I33" si="0">IF(H2="Yes", 1, 0)</f>
        <v>0</v>
      </c>
      <c r="J2" s="1" t="str">
        <f t="shared" ref="J2:J33" si="1">IF(AND(E2&lt;=2, F2="Low", H2="No"), "High Risk",
 IF(AND(E2&lt;=1, F2="Low"), "Critical Risk",
 IF(AND(H2="No", F2="Low"), "Medium Risk",
 IF(H2="Yes", "Already Left", "Low Risk"))))</f>
        <v>High Risk</v>
      </c>
    </row>
    <row r="3" spans="1:10" x14ac:dyDescent="0.25">
      <c r="A3" s="1">
        <v>1002</v>
      </c>
      <c r="B3" t="s">
        <v>14</v>
      </c>
      <c r="C3" t="s">
        <v>15</v>
      </c>
      <c r="D3" t="s">
        <v>16</v>
      </c>
      <c r="E3" s="1">
        <v>4</v>
      </c>
      <c r="F3" s="1" t="s">
        <v>17</v>
      </c>
      <c r="G3" s="1">
        <v>4800</v>
      </c>
      <c r="H3" s="1" t="s">
        <v>18</v>
      </c>
      <c r="I3" s="1">
        <f t="shared" si="0"/>
        <v>1</v>
      </c>
      <c r="J3" s="1" t="str">
        <f t="shared" si="1"/>
        <v>Already Left</v>
      </c>
    </row>
    <row r="4" spans="1:10" x14ac:dyDescent="0.25">
      <c r="A4" s="1">
        <v>1003</v>
      </c>
      <c r="B4" t="s">
        <v>19</v>
      </c>
      <c r="C4" t="s">
        <v>10</v>
      </c>
      <c r="D4" t="s">
        <v>11</v>
      </c>
      <c r="E4" s="1">
        <v>1</v>
      </c>
      <c r="F4" s="1" t="s">
        <v>12</v>
      </c>
      <c r="G4" s="1">
        <v>2800</v>
      </c>
      <c r="H4" s="1" t="s">
        <v>13</v>
      </c>
      <c r="I4" s="1">
        <f t="shared" si="0"/>
        <v>0</v>
      </c>
      <c r="J4" s="1" t="str">
        <f t="shared" si="1"/>
        <v>High Risk</v>
      </c>
    </row>
    <row r="5" spans="1:10" x14ac:dyDescent="0.25">
      <c r="A5" s="1">
        <v>1004</v>
      </c>
      <c r="B5" t="s">
        <v>20</v>
      </c>
      <c r="C5" t="s">
        <v>21</v>
      </c>
      <c r="D5" t="s">
        <v>22</v>
      </c>
      <c r="E5" s="1">
        <v>5</v>
      </c>
      <c r="F5" s="1" t="s">
        <v>23</v>
      </c>
      <c r="G5" s="1">
        <v>7200</v>
      </c>
      <c r="H5" s="1" t="s">
        <v>13</v>
      </c>
      <c r="I5" s="1">
        <f t="shared" si="0"/>
        <v>0</v>
      </c>
      <c r="J5" s="1" t="str">
        <f t="shared" si="1"/>
        <v>Low Risk</v>
      </c>
    </row>
    <row r="6" spans="1:10" x14ac:dyDescent="0.25">
      <c r="A6" s="1">
        <v>1005</v>
      </c>
      <c r="B6" t="s">
        <v>24</v>
      </c>
      <c r="C6" t="s">
        <v>10</v>
      </c>
      <c r="D6" t="s">
        <v>11</v>
      </c>
      <c r="E6" s="1">
        <v>3</v>
      </c>
      <c r="F6" s="1" t="s">
        <v>17</v>
      </c>
      <c r="G6" s="1">
        <v>4100</v>
      </c>
      <c r="H6" s="1" t="s">
        <v>18</v>
      </c>
      <c r="I6" s="1">
        <f t="shared" si="0"/>
        <v>1</v>
      </c>
      <c r="J6" s="1" t="str">
        <f t="shared" si="1"/>
        <v>Already Left</v>
      </c>
    </row>
    <row r="7" spans="1:10" x14ac:dyDescent="0.25">
      <c r="A7" s="1">
        <v>1006</v>
      </c>
      <c r="B7" t="s">
        <v>25</v>
      </c>
      <c r="C7" t="s">
        <v>15</v>
      </c>
      <c r="D7" t="s">
        <v>16</v>
      </c>
      <c r="E7" s="1">
        <v>2</v>
      </c>
      <c r="F7" s="1" t="s">
        <v>12</v>
      </c>
      <c r="G7" s="1">
        <v>3500</v>
      </c>
      <c r="H7" s="1" t="s">
        <v>13</v>
      </c>
      <c r="I7" s="1">
        <f t="shared" si="0"/>
        <v>0</v>
      </c>
      <c r="J7" s="1" t="str">
        <f t="shared" si="1"/>
        <v>High Risk</v>
      </c>
    </row>
    <row r="8" spans="1:10" x14ac:dyDescent="0.25">
      <c r="A8" s="1">
        <v>1007</v>
      </c>
      <c r="B8" t="s">
        <v>26</v>
      </c>
      <c r="C8" t="s">
        <v>21</v>
      </c>
      <c r="D8" t="s">
        <v>22</v>
      </c>
      <c r="E8" s="1">
        <v>6</v>
      </c>
      <c r="F8" s="1" t="s">
        <v>23</v>
      </c>
      <c r="G8" s="1">
        <v>7800</v>
      </c>
      <c r="H8" s="1" t="s">
        <v>13</v>
      </c>
      <c r="I8" s="1">
        <f t="shared" si="0"/>
        <v>0</v>
      </c>
      <c r="J8" s="1" t="str">
        <f t="shared" si="1"/>
        <v>Low Risk</v>
      </c>
    </row>
    <row r="9" spans="1:10" x14ac:dyDescent="0.25">
      <c r="A9" s="1">
        <v>1008</v>
      </c>
      <c r="B9" t="s">
        <v>27</v>
      </c>
      <c r="C9" t="s">
        <v>10</v>
      </c>
      <c r="D9" t="s">
        <v>28</v>
      </c>
      <c r="E9" s="1">
        <v>1</v>
      </c>
      <c r="F9" s="1" t="s">
        <v>12</v>
      </c>
      <c r="G9" s="1">
        <v>2900</v>
      </c>
      <c r="H9" s="1" t="s">
        <v>18</v>
      </c>
      <c r="I9" s="1">
        <f t="shared" si="0"/>
        <v>1</v>
      </c>
      <c r="J9" s="1" t="str">
        <f t="shared" si="1"/>
        <v>Critical Risk</v>
      </c>
    </row>
    <row r="10" spans="1:10" x14ac:dyDescent="0.25">
      <c r="A10" s="1">
        <v>1009</v>
      </c>
      <c r="B10" t="s">
        <v>29</v>
      </c>
      <c r="C10" t="s">
        <v>21</v>
      </c>
      <c r="D10" t="s">
        <v>22</v>
      </c>
      <c r="E10" s="1">
        <v>4</v>
      </c>
      <c r="F10" s="1" t="s">
        <v>17</v>
      </c>
      <c r="G10" s="1">
        <v>5500</v>
      </c>
      <c r="H10" s="1" t="s">
        <v>13</v>
      </c>
      <c r="I10" s="1">
        <f t="shared" si="0"/>
        <v>0</v>
      </c>
      <c r="J10" s="1" t="str">
        <f t="shared" si="1"/>
        <v>Low Risk</v>
      </c>
    </row>
    <row r="11" spans="1:10" x14ac:dyDescent="0.25">
      <c r="A11" s="1">
        <v>1010</v>
      </c>
      <c r="B11" t="s">
        <v>30</v>
      </c>
      <c r="C11" t="s">
        <v>15</v>
      </c>
      <c r="D11" t="s">
        <v>16</v>
      </c>
      <c r="E11" s="1">
        <v>3</v>
      </c>
      <c r="F11" s="1" t="s">
        <v>17</v>
      </c>
      <c r="G11" s="1">
        <v>4600</v>
      </c>
      <c r="H11" s="1" t="s">
        <v>18</v>
      </c>
      <c r="I11" s="1">
        <f t="shared" si="0"/>
        <v>1</v>
      </c>
      <c r="J11" s="1" t="str">
        <f t="shared" si="1"/>
        <v>Already Left</v>
      </c>
    </row>
    <row r="12" spans="1:10" x14ac:dyDescent="0.25">
      <c r="A12" s="1">
        <v>1011</v>
      </c>
      <c r="B12" t="s">
        <v>31</v>
      </c>
      <c r="C12" t="s">
        <v>10</v>
      </c>
      <c r="D12" t="s">
        <v>28</v>
      </c>
      <c r="E12" s="1">
        <v>2</v>
      </c>
      <c r="F12" s="1" t="s">
        <v>12</v>
      </c>
      <c r="G12" s="1">
        <v>3100</v>
      </c>
      <c r="H12" s="1" t="s">
        <v>13</v>
      </c>
      <c r="I12" s="1">
        <f t="shared" si="0"/>
        <v>0</v>
      </c>
      <c r="J12" s="1" t="str">
        <f t="shared" si="1"/>
        <v>High Risk</v>
      </c>
    </row>
    <row r="13" spans="1:10" x14ac:dyDescent="0.25">
      <c r="A13" s="1">
        <v>1012</v>
      </c>
      <c r="B13" t="s">
        <v>32</v>
      </c>
      <c r="C13" t="s">
        <v>21</v>
      </c>
      <c r="D13" t="s">
        <v>22</v>
      </c>
      <c r="E13" s="1">
        <v>7</v>
      </c>
      <c r="F13" s="1" t="s">
        <v>23</v>
      </c>
      <c r="G13" s="1">
        <v>8200</v>
      </c>
      <c r="H13" s="1" t="s">
        <v>13</v>
      </c>
      <c r="I13" s="1">
        <f t="shared" si="0"/>
        <v>0</v>
      </c>
      <c r="J13" s="1" t="str">
        <f t="shared" si="1"/>
        <v>Low Risk</v>
      </c>
    </row>
    <row r="14" spans="1:10" x14ac:dyDescent="0.25">
      <c r="A14" s="1">
        <v>1013</v>
      </c>
      <c r="B14" t="s">
        <v>33</v>
      </c>
      <c r="C14" t="s">
        <v>10</v>
      </c>
      <c r="D14" t="s">
        <v>11</v>
      </c>
      <c r="E14" s="1">
        <v>4</v>
      </c>
      <c r="F14" s="1" t="s">
        <v>17</v>
      </c>
      <c r="G14" s="1">
        <v>4400</v>
      </c>
      <c r="H14" s="1" t="s">
        <v>18</v>
      </c>
      <c r="I14" s="1">
        <f t="shared" si="0"/>
        <v>1</v>
      </c>
      <c r="J14" s="1" t="str">
        <f t="shared" si="1"/>
        <v>Already Left</v>
      </c>
    </row>
    <row r="15" spans="1:10" x14ac:dyDescent="0.25">
      <c r="A15" s="1">
        <v>1014</v>
      </c>
      <c r="B15" t="s">
        <v>34</v>
      </c>
      <c r="C15" t="s">
        <v>15</v>
      </c>
      <c r="D15" t="s">
        <v>16</v>
      </c>
      <c r="E15" s="1">
        <v>1</v>
      </c>
      <c r="F15" s="1" t="s">
        <v>12</v>
      </c>
      <c r="G15" s="1">
        <v>3000</v>
      </c>
      <c r="H15" s="1" t="s">
        <v>13</v>
      </c>
      <c r="I15" s="1">
        <f t="shared" si="0"/>
        <v>0</v>
      </c>
      <c r="J15" s="1" t="str">
        <f t="shared" si="1"/>
        <v>High Risk</v>
      </c>
    </row>
    <row r="16" spans="1:10" x14ac:dyDescent="0.25">
      <c r="A16" s="1">
        <v>1015</v>
      </c>
      <c r="B16" t="s">
        <v>35</v>
      </c>
      <c r="C16" t="s">
        <v>21</v>
      </c>
      <c r="D16" t="s">
        <v>22</v>
      </c>
      <c r="E16" s="1">
        <v>3</v>
      </c>
      <c r="F16" s="1" t="s">
        <v>17</v>
      </c>
      <c r="G16" s="1">
        <v>5800</v>
      </c>
      <c r="H16" s="1" t="s">
        <v>13</v>
      </c>
      <c r="I16" s="1">
        <f t="shared" si="0"/>
        <v>0</v>
      </c>
      <c r="J16" s="1" t="str">
        <f t="shared" si="1"/>
        <v>Low Risk</v>
      </c>
    </row>
    <row r="17" spans="1:10" x14ac:dyDescent="0.25">
      <c r="A17" s="1">
        <v>1016</v>
      </c>
      <c r="B17" t="s">
        <v>36</v>
      </c>
      <c r="C17" t="s">
        <v>10</v>
      </c>
      <c r="D17" t="s">
        <v>28</v>
      </c>
      <c r="E17" s="1">
        <v>5</v>
      </c>
      <c r="F17" s="1" t="s">
        <v>23</v>
      </c>
      <c r="G17" s="1">
        <v>6500</v>
      </c>
      <c r="H17" s="1" t="s">
        <v>18</v>
      </c>
      <c r="I17" s="1">
        <f t="shared" si="0"/>
        <v>1</v>
      </c>
      <c r="J17" s="1" t="str">
        <f t="shared" si="1"/>
        <v>Already Left</v>
      </c>
    </row>
    <row r="18" spans="1:10" x14ac:dyDescent="0.25">
      <c r="A18" s="1">
        <v>1017</v>
      </c>
      <c r="B18" t="s">
        <v>37</v>
      </c>
      <c r="C18" t="s">
        <v>10</v>
      </c>
      <c r="D18" t="s">
        <v>11</v>
      </c>
      <c r="E18" s="1">
        <v>2</v>
      </c>
      <c r="F18" s="1" t="s">
        <v>12</v>
      </c>
      <c r="G18" s="1">
        <v>3300</v>
      </c>
      <c r="H18" s="1" t="s">
        <v>13</v>
      </c>
      <c r="I18" s="1">
        <f t="shared" si="0"/>
        <v>0</v>
      </c>
      <c r="J18" s="1" t="str">
        <f t="shared" si="1"/>
        <v>High Risk</v>
      </c>
    </row>
    <row r="19" spans="1:10" x14ac:dyDescent="0.25">
      <c r="A19" s="1">
        <v>1018</v>
      </c>
      <c r="B19" t="s">
        <v>38</v>
      </c>
      <c r="C19" t="s">
        <v>15</v>
      </c>
      <c r="D19" t="s">
        <v>16</v>
      </c>
      <c r="E19" s="1">
        <v>4</v>
      </c>
      <c r="F19" s="1" t="s">
        <v>17</v>
      </c>
      <c r="G19" s="1">
        <v>4900</v>
      </c>
      <c r="H19" s="1" t="s">
        <v>13</v>
      </c>
      <c r="I19" s="1">
        <f t="shared" si="0"/>
        <v>0</v>
      </c>
      <c r="J19" s="1" t="str">
        <f t="shared" si="1"/>
        <v>Low Risk</v>
      </c>
    </row>
    <row r="20" spans="1:10" x14ac:dyDescent="0.25">
      <c r="A20" s="1">
        <v>1019</v>
      </c>
      <c r="B20" t="s">
        <v>39</v>
      </c>
      <c r="C20" t="s">
        <v>21</v>
      </c>
      <c r="D20" t="s">
        <v>22</v>
      </c>
      <c r="E20" s="1">
        <v>2</v>
      </c>
      <c r="F20" s="1" t="s">
        <v>17</v>
      </c>
      <c r="G20" s="1">
        <v>5200</v>
      </c>
      <c r="H20" s="1" t="s">
        <v>13</v>
      </c>
      <c r="I20" s="1">
        <f t="shared" si="0"/>
        <v>0</v>
      </c>
      <c r="J20" s="1" t="str">
        <f t="shared" si="1"/>
        <v>Low Risk</v>
      </c>
    </row>
    <row r="21" spans="1:10" x14ac:dyDescent="0.25">
      <c r="A21" s="1">
        <v>1020</v>
      </c>
      <c r="B21" t="s">
        <v>40</v>
      </c>
      <c r="C21" t="s">
        <v>10</v>
      </c>
      <c r="D21" t="s">
        <v>28</v>
      </c>
      <c r="E21" s="1">
        <v>3</v>
      </c>
      <c r="F21" s="1" t="s">
        <v>17</v>
      </c>
      <c r="G21" s="1">
        <v>4200</v>
      </c>
      <c r="H21" s="1" t="s">
        <v>18</v>
      </c>
      <c r="I21" s="1">
        <f t="shared" si="0"/>
        <v>1</v>
      </c>
      <c r="J21" s="1" t="str">
        <f t="shared" si="1"/>
        <v>Already Left</v>
      </c>
    </row>
    <row r="22" spans="1:10" x14ac:dyDescent="0.25">
      <c r="A22" s="1">
        <v>1021</v>
      </c>
      <c r="B22" t="s">
        <v>41</v>
      </c>
      <c r="C22" t="s">
        <v>10</v>
      </c>
      <c r="D22" t="s">
        <v>11</v>
      </c>
      <c r="E22" s="1">
        <v>1</v>
      </c>
      <c r="F22" s="1" t="s">
        <v>12</v>
      </c>
      <c r="G22" s="1">
        <v>2700</v>
      </c>
      <c r="H22" s="1" t="s">
        <v>13</v>
      </c>
      <c r="I22" s="1">
        <f t="shared" si="0"/>
        <v>0</v>
      </c>
      <c r="J22" s="1" t="str">
        <f t="shared" si="1"/>
        <v>High Risk</v>
      </c>
    </row>
    <row r="23" spans="1:10" x14ac:dyDescent="0.25">
      <c r="A23" s="1">
        <v>1022</v>
      </c>
      <c r="B23" t="s">
        <v>42</v>
      </c>
      <c r="C23" t="s">
        <v>15</v>
      </c>
      <c r="D23" t="s">
        <v>16</v>
      </c>
      <c r="E23" s="1">
        <v>5</v>
      </c>
      <c r="F23" s="1" t="s">
        <v>23</v>
      </c>
      <c r="G23" s="1">
        <v>6100</v>
      </c>
      <c r="H23" s="1" t="s">
        <v>18</v>
      </c>
      <c r="I23" s="1">
        <f t="shared" si="0"/>
        <v>1</v>
      </c>
      <c r="J23" s="1" t="str">
        <f t="shared" si="1"/>
        <v>Already Left</v>
      </c>
    </row>
    <row r="24" spans="1:10" x14ac:dyDescent="0.25">
      <c r="A24" s="1">
        <v>1023</v>
      </c>
      <c r="B24" t="s">
        <v>43</v>
      </c>
      <c r="C24" t="s">
        <v>21</v>
      </c>
      <c r="D24" t="s">
        <v>22</v>
      </c>
      <c r="E24" s="1">
        <v>4</v>
      </c>
      <c r="F24" s="1" t="s">
        <v>17</v>
      </c>
      <c r="G24" s="1">
        <v>5600</v>
      </c>
      <c r="H24" s="1" t="s">
        <v>13</v>
      </c>
      <c r="I24" s="1">
        <f t="shared" si="0"/>
        <v>0</v>
      </c>
      <c r="J24" s="1" t="str">
        <f t="shared" si="1"/>
        <v>Low Risk</v>
      </c>
    </row>
    <row r="25" spans="1:10" x14ac:dyDescent="0.25">
      <c r="A25" s="1">
        <v>1024</v>
      </c>
      <c r="B25" t="s">
        <v>44</v>
      </c>
      <c r="C25" t="s">
        <v>10</v>
      </c>
      <c r="D25" t="s">
        <v>28</v>
      </c>
      <c r="E25" s="1">
        <v>2</v>
      </c>
      <c r="F25" s="1" t="s">
        <v>12</v>
      </c>
      <c r="G25" s="1">
        <v>3400</v>
      </c>
      <c r="H25" s="1" t="s">
        <v>13</v>
      </c>
      <c r="I25" s="1">
        <f t="shared" si="0"/>
        <v>0</v>
      </c>
      <c r="J25" s="1" t="str">
        <f t="shared" si="1"/>
        <v>High Risk</v>
      </c>
    </row>
    <row r="26" spans="1:10" x14ac:dyDescent="0.25">
      <c r="A26" s="1">
        <v>1025</v>
      </c>
      <c r="B26" t="s">
        <v>45</v>
      </c>
      <c r="C26" t="s">
        <v>10</v>
      </c>
      <c r="D26" t="s">
        <v>11</v>
      </c>
      <c r="E26" s="1">
        <v>3</v>
      </c>
      <c r="F26" s="1" t="s">
        <v>17</v>
      </c>
      <c r="G26" s="1">
        <v>4300</v>
      </c>
      <c r="H26" s="1" t="s">
        <v>18</v>
      </c>
      <c r="I26" s="1">
        <f t="shared" si="0"/>
        <v>1</v>
      </c>
      <c r="J26" s="1" t="str">
        <f t="shared" si="1"/>
        <v>Already Left</v>
      </c>
    </row>
    <row r="27" spans="1:10" x14ac:dyDescent="0.25">
      <c r="A27" s="1">
        <v>1026</v>
      </c>
      <c r="B27" t="s">
        <v>46</v>
      </c>
      <c r="C27" t="s">
        <v>15</v>
      </c>
      <c r="D27" t="s">
        <v>16</v>
      </c>
      <c r="E27" s="1">
        <v>2</v>
      </c>
      <c r="F27" s="1" t="s">
        <v>12</v>
      </c>
      <c r="G27" s="1">
        <v>3600</v>
      </c>
      <c r="H27" s="1" t="s">
        <v>13</v>
      </c>
      <c r="I27" s="1">
        <f t="shared" si="0"/>
        <v>0</v>
      </c>
      <c r="J27" s="1" t="str">
        <f t="shared" si="1"/>
        <v>High Risk</v>
      </c>
    </row>
    <row r="28" spans="1:10" x14ac:dyDescent="0.25">
      <c r="A28" s="1">
        <v>1027</v>
      </c>
      <c r="B28" t="s">
        <v>47</v>
      </c>
      <c r="C28" t="s">
        <v>21</v>
      </c>
      <c r="D28" t="s">
        <v>22</v>
      </c>
      <c r="E28" s="1">
        <v>5</v>
      </c>
      <c r="F28" s="1" t="s">
        <v>23</v>
      </c>
      <c r="G28" s="1">
        <v>7500</v>
      </c>
      <c r="H28" s="1" t="s">
        <v>13</v>
      </c>
      <c r="I28" s="1">
        <f t="shared" si="0"/>
        <v>0</v>
      </c>
      <c r="J28" s="1" t="str">
        <f t="shared" si="1"/>
        <v>Low Risk</v>
      </c>
    </row>
    <row r="29" spans="1:10" x14ac:dyDescent="0.25">
      <c r="A29" s="1">
        <v>1028</v>
      </c>
      <c r="B29" t="s">
        <v>48</v>
      </c>
      <c r="C29" t="s">
        <v>10</v>
      </c>
      <c r="D29" t="s">
        <v>28</v>
      </c>
      <c r="E29" s="1">
        <v>4</v>
      </c>
      <c r="F29" s="1" t="s">
        <v>17</v>
      </c>
      <c r="G29" s="1">
        <v>4800</v>
      </c>
      <c r="H29" s="1" t="s">
        <v>18</v>
      </c>
      <c r="I29" s="1">
        <f t="shared" si="0"/>
        <v>1</v>
      </c>
      <c r="J29" s="1" t="str">
        <f t="shared" si="1"/>
        <v>Already Left</v>
      </c>
    </row>
    <row r="30" spans="1:10" x14ac:dyDescent="0.25">
      <c r="A30" s="1">
        <v>1029</v>
      </c>
      <c r="B30" t="s">
        <v>49</v>
      </c>
      <c r="C30" t="s">
        <v>10</v>
      </c>
      <c r="D30" t="s">
        <v>11</v>
      </c>
      <c r="E30" s="1">
        <v>2</v>
      </c>
      <c r="F30" s="1" t="s">
        <v>12</v>
      </c>
      <c r="G30" s="1">
        <v>3200</v>
      </c>
      <c r="H30" s="1" t="s">
        <v>13</v>
      </c>
      <c r="I30" s="1">
        <f t="shared" si="0"/>
        <v>0</v>
      </c>
      <c r="J30" s="1" t="str">
        <f t="shared" si="1"/>
        <v>High Risk</v>
      </c>
    </row>
    <row r="31" spans="1:10" x14ac:dyDescent="0.25">
      <c r="A31" s="1">
        <v>1030</v>
      </c>
      <c r="B31" t="s">
        <v>50</v>
      </c>
      <c r="C31" t="s">
        <v>15</v>
      </c>
      <c r="D31" t="s">
        <v>16</v>
      </c>
      <c r="E31" s="1">
        <v>3</v>
      </c>
      <c r="F31" s="1" t="s">
        <v>17</v>
      </c>
      <c r="G31" s="1">
        <v>4700</v>
      </c>
      <c r="H31" s="1" t="s">
        <v>13</v>
      </c>
      <c r="I31" s="1">
        <f t="shared" si="0"/>
        <v>0</v>
      </c>
      <c r="J31" s="1" t="str">
        <f t="shared" si="1"/>
        <v>Low Risk</v>
      </c>
    </row>
    <row r="32" spans="1:10" x14ac:dyDescent="0.25">
      <c r="A32" s="1">
        <v>1031</v>
      </c>
      <c r="B32" t="s">
        <v>51</v>
      </c>
      <c r="C32" t="s">
        <v>21</v>
      </c>
      <c r="D32" t="s">
        <v>22</v>
      </c>
      <c r="E32" s="1">
        <v>6</v>
      </c>
      <c r="F32" s="1" t="s">
        <v>23</v>
      </c>
      <c r="G32" s="1">
        <v>7900</v>
      </c>
      <c r="H32" s="1" t="s">
        <v>13</v>
      </c>
      <c r="I32" s="1">
        <f t="shared" si="0"/>
        <v>0</v>
      </c>
      <c r="J32" s="1" t="str">
        <f t="shared" si="1"/>
        <v>Low Risk</v>
      </c>
    </row>
    <row r="33" spans="1:10" x14ac:dyDescent="0.25">
      <c r="A33" s="1">
        <v>1032</v>
      </c>
      <c r="B33" t="s">
        <v>52</v>
      </c>
      <c r="C33" t="s">
        <v>10</v>
      </c>
      <c r="D33" t="s">
        <v>28</v>
      </c>
      <c r="E33" s="1">
        <v>1</v>
      </c>
      <c r="F33" s="1" t="s">
        <v>12</v>
      </c>
      <c r="G33" s="1">
        <v>2950</v>
      </c>
      <c r="H33" s="1" t="s">
        <v>18</v>
      </c>
      <c r="I33" s="1">
        <f t="shared" si="0"/>
        <v>1</v>
      </c>
      <c r="J33" s="1" t="str">
        <f t="shared" si="1"/>
        <v>Critical Risk</v>
      </c>
    </row>
    <row r="34" spans="1:10" x14ac:dyDescent="0.25">
      <c r="A34" s="1">
        <v>1033</v>
      </c>
      <c r="B34" t="s">
        <v>53</v>
      </c>
      <c r="C34" t="s">
        <v>10</v>
      </c>
      <c r="D34" t="s">
        <v>11</v>
      </c>
      <c r="E34" s="1">
        <v>4</v>
      </c>
      <c r="F34" s="1" t="s">
        <v>17</v>
      </c>
      <c r="G34" s="1">
        <v>4500</v>
      </c>
      <c r="H34" s="1" t="s">
        <v>13</v>
      </c>
      <c r="I34" s="1">
        <f t="shared" ref="I34:I51" si="2">IF(H34="Yes", 1, 0)</f>
        <v>0</v>
      </c>
      <c r="J34" s="1" t="str">
        <f t="shared" ref="J34:J51" si="3">IF(AND(E34&lt;=2, F34="Low", H34="No"), "High Risk",
 IF(AND(E34&lt;=1, F34="Low"), "Critical Risk",
 IF(AND(H34="No", F34="Low"), "Medium Risk",
 IF(H34="Yes", "Already Left", "Low Risk"))))</f>
        <v>Low Risk</v>
      </c>
    </row>
    <row r="35" spans="1:10" x14ac:dyDescent="0.25">
      <c r="A35" s="1">
        <v>1034</v>
      </c>
      <c r="B35" t="s">
        <v>54</v>
      </c>
      <c r="C35" t="s">
        <v>15</v>
      </c>
      <c r="D35" t="s">
        <v>16</v>
      </c>
      <c r="E35" s="1">
        <v>2</v>
      </c>
      <c r="F35" s="1" t="s">
        <v>12</v>
      </c>
      <c r="G35" s="1">
        <v>3400</v>
      </c>
      <c r="H35" s="1" t="s">
        <v>13</v>
      </c>
      <c r="I35" s="1">
        <f t="shared" si="2"/>
        <v>0</v>
      </c>
      <c r="J35" s="1" t="str">
        <f t="shared" si="3"/>
        <v>High Risk</v>
      </c>
    </row>
    <row r="36" spans="1:10" x14ac:dyDescent="0.25">
      <c r="A36" s="1">
        <v>1035</v>
      </c>
      <c r="B36" t="s">
        <v>55</v>
      </c>
      <c r="C36" t="s">
        <v>21</v>
      </c>
      <c r="D36" t="s">
        <v>22</v>
      </c>
      <c r="E36" s="1">
        <v>3</v>
      </c>
      <c r="F36" s="1" t="s">
        <v>17</v>
      </c>
      <c r="G36" s="1">
        <v>5900</v>
      </c>
      <c r="H36" s="1" t="s">
        <v>13</v>
      </c>
      <c r="I36" s="1">
        <f t="shared" si="2"/>
        <v>0</v>
      </c>
      <c r="J36" s="1" t="str">
        <f t="shared" si="3"/>
        <v>Low Risk</v>
      </c>
    </row>
    <row r="37" spans="1:10" x14ac:dyDescent="0.25">
      <c r="A37" s="1">
        <v>1036</v>
      </c>
      <c r="B37" t="s">
        <v>56</v>
      </c>
      <c r="C37" t="s">
        <v>10</v>
      </c>
      <c r="D37" t="s">
        <v>28</v>
      </c>
      <c r="E37" s="1">
        <v>5</v>
      </c>
      <c r="F37" s="1" t="s">
        <v>23</v>
      </c>
      <c r="G37" s="1">
        <v>6800</v>
      </c>
      <c r="H37" s="1" t="s">
        <v>18</v>
      </c>
      <c r="I37" s="1">
        <f t="shared" si="2"/>
        <v>1</v>
      </c>
      <c r="J37" s="1" t="str">
        <f t="shared" si="3"/>
        <v>Already Left</v>
      </c>
    </row>
    <row r="38" spans="1:10" x14ac:dyDescent="0.25">
      <c r="A38" s="1">
        <v>1037</v>
      </c>
      <c r="B38" t="s">
        <v>57</v>
      </c>
      <c r="C38" t="s">
        <v>10</v>
      </c>
      <c r="D38" t="s">
        <v>11</v>
      </c>
      <c r="E38" s="1">
        <v>2</v>
      </c>
      <c r="F38" s="1" t="s">
        <v>12</v>
      </c>
      <c r="G38" s="1">
        <v>3250</v>
      </c>
      <c r="H38" s="1" t="s">
        <v>13</v>
      </c>
      <c r="I38" s="1">
        <f t="shared" si="2"/>
        <v>0</v>
      </c>
      <c r="J38" s="1" t="str">
        <f t="shared" si="3"/>
        <v>High Risk</v>
      </c>
    </row>
    <row r="39" spans="1:10" x14ac:dyDescent="0.25">
      <c r="A39" s="1">
        <v>1038</v>
      </c>
      <c r="B39" t="s">
        <v>58</v>
      </c>
      <c r="C39" t="s">
        <v>15</v>
      </c>
      <c r="D39" t="s">
        <v>16</v>
      </c>
      <c r="E39" s="1">
        <v>4</v>
      </c>
      <c r="F39" s="1" t="s">
        <v>17</v>
      </c>
      <c r="G39" s="1">
        <v>5000</v>
      </c>
      <c r="H39" s="1" t="s">
        <v>13</v>
      </c>
      <c r="I39" s="1">
        <f t="shared" si="2"/>
        <v>0</v>
      </c>
      <c r="J39" s="1" t="str">
        <f t="shared" si="3"/>
        <v>Low Risk</v>
      </c>
    </row>
    <row r="40" spans="1:10" x14ac:dyDescent="0.25">
      <c r="A40" s="1">
        <v>1039</v>
      </c>
      <c r="B40" t="s">
        <v>59</v>
      </c>
      <c r="C40" t="s">
        <v>21</v>
      </c>
      <c r="D40" t="s">
        <v>22</v>
      </c>
      <c r="E40" s="1">
        <v>1</v>
      </c>
      <c r="F40" s="1" t="s">
        <v>12</v>
      </c>
      <c r="G40" s="1">
        <v>4500</v>
      </c>
      <c r="H40" s="1" t="s">
        <v>13</v>
      </c>
      <c r="I40" s="1">
        <f t="shared" si="2"/>
        <v>0</v>
      </c>
      <c r="J40" s="1" t="str">
        <f t="shared" si="3"/>
        <v>High Risk</v>
      </c>
    </row>
    <row r="41" spans="1:10" x14ac:dyDescent="0.25">
      <c r="A41" s="1">
        <v>1040</v>
      </c>
      <c r="B41" t="s">
        <v>60</v>
      </c>
      <c r="C41" t="s">
        <v>10</v>
      </c>
      <c r="D41" t="s">
        <v>28</v>
      </c>
      <c r="E41" s="1">
        <v>3</v>
      </c>
      <c r="F41" s="1" t="s">
        <v>17</v>
      </c>
      <c r="G41" s="1">
        <v>4400</v>
      </c>
      <c r="H41" s="1" t="s">
        <v>18</v>
      </c>
      <c r="I41" s="1">
        <f t="shared" si="2"/>
        <v>1</v>
      </c>
      <c r="J41" s="1" t="str">
        <f t="shared" si="3"/>
        <v>Already Left</v>
      </c>
    </row>
    <row r="42" spans="1:10" x14ac:dyDescent="0.25">
      <c r="A42" s="1">
        <v>1041</v>
      </c>
      <c r="B42" t="s">
        <v>61</v>
      </c>
      <c r="C42" t="s">
        <v>10</v>
      </c>
      <c r="D42" t="s">
        <v>11</v>
      </c>
      <c r="E42" s="1">
        <v>1</v>
      </c>
      <c r="F42" s="1" t="s">
        <v>12</v>
      </c>
      <c r="G42" s="1">
        <v>2850</v>
      </c>
      <c r="H42" s="1" t="s">
        <v>13</v>
      </c>
      <c r="I42" s="1">
        <f t="shared" si="2"/>
        <v>0</v>
      </c>
      <c r="J42" s="1" t="str">
        <f t="shared" si="3"/>
        <v>High Risk</v>
      </c>
    </row>
    <row r="43" spans="1:10" x14ac:dyDescent="0.25">
      <c r="A43" s="1">
        <v>1042</v>
      </c>
      <c r="B43" t="s">
        <v>62</v>
      </c>
      <c r="C43" t="s">
        <v>15</v>
      </c>
      <c r="D43" t="s">
        <v>16</v>
      </c>
      <c r="E43" s="1">
        <v>5</v>
      </c>
      <c r="F43" s="1" t="s">
        <v>23</v>
      </c>
      <c r="G43" s="1">
        <v>6200</v>
      </c>
      <c r="H43" s="1" t="s">
        <v>18</v>
      </c>
      <c r="I43" s="1">
        <f t="shared" si="2"/>
        <v>1</v>
      </c>
      <c r="J43" s="1" t="str">
        <f t="shared" si="3"/>
        <v>Already Left</v>
      </c>
    </row>
    <row r="44" spans="1:10" x14ac:dyDescent="0.25">
      <c r="A44" s="1">
        <v>1043</v>
      </c>
      <c r="B44" t="s">
        <v>63</v>
      </c>
      <c r="C44" t="s">
        <v>21</v>
      </c>
      <c r="D44" t="s">
        <v>22</v>
      </c>
      <c r="E44" s="1">
        <v>4</v>
      </c>
      <c r="F44" s="1" t="s">
        <v>17</v>
      </c>
      <c r="G44" s="1">
        <v>5700</v>
      </c>
      <c r="H44" s="1" t="s">
        <v>13</v>
      </c>
      <c r="I44" s="1">
        <f t="shared" si="2"/>
        <v>0</v>
      </c>
      <c r="J44" s="1" t="str">
        <f t="shared" si="3"/>
        <v>Low Risk</v>
      </c>
    </row>
    <row r="45" spans="1:10" x14ac:dyDescent="0.25">
      <c r="A45" s="1">
        <v>1044</v>
      </c>
      <c r="B45" t="s">
        <v>64</v>
      </c>
      <c r="C45" t="s">
        <v>10</v>
      </c>
      <c r="D45" t="s">
        <v>28</v>
      </c>
      <c r="E45" s="1">
        <v>2</v>
      </c>
      <c r="F45" s="1" t="s">
        <v>12</v>
      </c>
      <c r="G45" s="1">
        <v>3500</v>
      </c>
      <c r="H45" s="1" t="s">
        <v>13</v>
      </c>
      <c r="I45" s="1">
        <f t="shared" si="2"/>
        <v>0</v>
      </c>
      <c r="J45" s="1" t="str">
        <f t="shared" si="3"/>
        <v>High Risk</v>
      </c>
    </row>
    <row r="46" spans="1:10" x14ac:dyDescent="0.25">
      <c r="A46" s="1">
        <v>1045</v>
      </c>
      <c r="B46" t="s">
        <v>65</v>
      </c>
      <c r="C46" t="s">
        <v>10</v>
      </c>
      <c r="D46" t="s">
        <v>11</v>
      </c>
      <c r="E46" s="1">
        <v>3</v>
      </c>
      <c r="F46" s="1" t="s">
        <v>17</v>
      </c>
      <c r="G46" s="1">
        <v>4600</v>
      </c>
      <c r="H46" s="1" t="s">
        <v>18</v>
      </c>
      <c r="I46" s="1">
        <f t="shared" si="2"/>
        <v>1</v>
      </c>
      <c r="J46" s="1" t="str">
        <f t="shared" si="3"/>
        <v>Already Left</v>
      </c>
    </row>
    <row r="47" spans="1:10" x14ac:dyDescent="0.25">
      <c r="A47" s="1">
        <v>1046</v>
      </c>
      <c r="B47" t="s">
        <v>66</v>
      </c>
      <c r="C47" t="s">
        <v>15</v>
      </c>
      <c r="D47" t="s">
        <v>16</v>
      </c>
      <c r="E47" s="1">
        <v>2</v>
      </c>
      <c r="F47" s="1" t="s">
        <v>12</v>
      </c>
      <c r="G47" s="1">
        <v>3700</v>
      </c>
      <c r="H47" s="1" t="s">
        <v>13</v>
      </c>
      <c r="I47" s="1">
        <f t="shared" si="2"/>
        <v>0</v>
      </c>
      <c r="J47" s="1" t="str">
        <f t="shared" si="3"/>
        <v>High Risk</v>
      </c>
    </row>
    <row r="48" spans="1:10" x14ac:dyDescent="0.25">
      <c r="A48" s="1">
        <v>1047</v>
      </c>
      <c r="B48" t="s">
        <v>67</v>
      </c>
      <c r="C48" t="s">
        <v>21</v>
      </c>
      <c r="D48" t="s">
        <v>22</v>
      </c>
      <c r="E48" s="1">
        <v>5</v>
      </c>
      <c r="F48" s="1" t="s">
        <v>23</v>
      </c>
      <c r="G48" s="1">
        <v>7600</v>
      </c>
      <c r="H48" s="1" t="s">
        <v>13</v>
      </c>
      <c r="I48" s="1">
        <f t="shared" si="2"/>
        <v>0</v>
      </c>
      <c r="J48" s="1" t="str">
        <f t="shared" si="3"/>
        <v>Low Risk</v>
      </c>
    </row>
    <row r="49" spans="1:10" x14ac:dyDescent="0.25">
      <c r="A49" s="1">
        <v>1048</v>
      </c>
      <c r="B49" t="s">
        <v>68</v>
      </c>
      <c r="C49" t="s">
        <v>10</v>
      </c>
      <c r="D49" t="s">
        <v>28</v>
      </c>
      <c r="E49" s="1">
        <v>4</v>
      </c>
      <c r="F49" s="1" t="s">
        <v>17</v>
      </c>
      <c r="G49" s="1">
        <v>4900</v>
      </c>
      <c r="H49" s="1" t="s">
        <v>18</v>
      </c>
      <c r="I49" s="1">
        <f t="shared" si="2"/>
        <v>1</v>
      </c>
      <c r="J49" s="1" t="str">
        <f t="shared" si="3"/>
        <v>Already Left</v>
      </c>
    </row>
    <row r="50" spans="1:10" x14ac:dyDescent="0.25">
      <c r="A50" s="1">
        <v>1049</v>
      </c>
      <c r="B50" t="s">
        <v>69</v>
      </c>
      <c r="C50" t="s">
        <v>10</v>
      </c>
      <c r="D50" t="s">
        <v>11</v>
      </c>
      <c r="E50" s="1">
        <v>2</v>
      </c>
      <c r="F50" s="1" t="s">
        <v>12</v>
      </c>
      <c r="G50" s="1">
        <v>3300</v>
      </c>
      <c r="H50" s="1" t="s">
        <v>13</v>
      </c>
      <c r="I50" s="1">
        <f t="shared" si="2"/>
        <v>0</v>
      </c>
      <c r="J50" s="1" t="str">
        <f t="shared" si="3"/>
        <v>High Risk</v>
      </c>
    </row>
    <row r="51" spans="1:10" x14ac:dyDescent="0.25">
      <c r="A51" s="1">
        <v>1050</v>
      </c>
      <c r="B51" t="s">
        <v>70</v>
      </c>
      <c r="C51" t="s">
        <v>15</v>
      </c>
      <c r="D51" t="s">
        <v>16</v>
      </c>
      <c r="E51" s="1">
        <v>3</v>
      </c>
      <c r="F51" s="1" t="s">
        <v>17</v>
      </c>
      <c r="G51" s="1">
        <v>4800</v>
      </c>
      <c r="H51" s="1" t="s">
        <v>13</v>
      </c>
      <c r="I51" s="1">
        <f t="shared" si="2"/>
        <v>0</v>
      </c>
      <c r="J51" s="1" t="str">
        <f t="shared" si="3"/>
        <v>Low Risk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DE7B2-E875-45DA-BC74-BDC916179B6E}">
  <dimension ref="A1:H25"/>
  <sheetViews>
    <sheetView tabSelected="1" zoomScaleNormal="100" workbookViewId="0">
      <selection activeCell="E13" sqref="E13"/>
    </sheetView>
  </sheetViews>
  <sheetFormatPr defaultRowHeight="15" x14ac:dyDescent="0.25"/>
  <cols>
    <col min="1" max="1" width="10.7265625" customWidth="1"/>
    <col min="2" max="2" width="14.6328125" style="1" customWidth="1"/>
    <col min="3" max="3" width="12.36328125" style="1" customWidth="1"/>
    <col min="4" max="4" width="11.81640625" style="1" customWidth="1"/>
    <col min="6" max="6" width="18.1796875" customWidth="1"/>
    <col min="7" max="7" width="11.81640625" customWidth="1"/>
    <col min="8" max="8" width="12.81640625" customWidth="1"/>
    <col min="9" max="9" width="11.81640625" customWidth="1"/>
    <col min="10" max="10" width="12.6328125" customWidth="1"/>
    <col min="13" max="13" width="12.08984375" customWidth="1"/>
    <col min="14" max="14" width="14.453125" customWidth="1"/>
    <col min="15" max="15" width="12.1796875" customWidth="1"/>
    <col min="16" max="16" width="12.08984375" customWidth="1"/>
    <col min="19" max="19" width="12.1796875" customWidth="1"/>
    <col min="20" max="20" width="16.1796875" customWidth="1"/>
    <col min="21" max="21" width="17.453125" customWidth="1"/>
  </cols>
  <sheetData>
    <row r="1" spans="1:8" ht="18" thickBot="1" x14ac:dyDescent="0.35">
      <c r="A1" s="13" t="s">
        <v>72</v>
      </c>
      <c r="B1" s="14"/>
      <c r="C1" s="14"/>
      <c r="D1" s="15"/>
      <c r="F1" s="9" t="s">
        <v>88</v>
      </c>
      <c r="G1" s="10"/>
      <c r="H1" s="11"/>
    </row>
    <row r="2" spans="1:8" ht="15.6" thickBot="1" x14ac:dyDescent="0.3">
      <c r="A2" s="2" t="s">
        <v>2</v>
      </c>
      <c r="B2" s="5" t="s">
        <v>73</v>
      </c>
      <c r="C2" s="5" t="s">
        <v>74</v>
      </c>
      <c r="D2" s="5" t="s">
        <v>75</v>
      </c>
    </row>
    <row r="3" spans="1:8" ht="16.2" thickBot="1" x14ac:dyDescent="0.35">
      <c r="A3" s="3" t="s">
        <v>10</v>
      </c>
      <c r="B3" s="8">
        <f>COUNTIF(tbl_hr[Department], "Sales")</f>
        <v>24</v>
      </c>
      <c r="C3" s="8">
        <f>COUNTIFS(tbl_hr[Department], "Sales", tbl_hr[Attrition], "Yes")</f>
        <v>12</v>
      </c>
      <c r="D3" s="8">
        <f>C3/B3</f>
        <v>0.5</v>
      </c>
      <c r="F3" s="9" t="s">
        <v>89</v>
      </c>
      <c r="G3" s="10"/>
      <c r="H3" s="11"/>
    </row>
    <row r="4" spans="1:8" x14ac:dyDescent="0.25">
      <c r="A4" s="3" t="s">
        <v>15</v>
      </c>
      <c r="B4" s="8">
        <f>COUNTIF(tbl_hr[Department], "Marketing")</f>
        <v>13</v>
      </c>
      <c r="C4" s="8">
        <f>COUNTIFS(tbl_hr[Department], "Marketing", tbl_hr[Attrition], "Yes")</f>
        <v>4</v>
      </c>
      <c r="D4" s="8">
        <f t="shared" ref="D4:D5" si="0">C4/B4</f>
        <v>0.30769230769230771</v>
      </c>
      <c r="F4" s="16" t="s">
        <v>90</v>
      </c>
      <c r="G4" s="17"/>
      <c r="H4" s="6" t="str">
        <f>INDEX(A3:A5, MATCH(MAX(D3:D5), D3:D5, 0))</f>
        <v>Sales</v>
      </c>
    </row>
    <row r="5" spans="1:8" x14ac:dyDescent="0.25">
      <c r="A5" s="3" t="s">
        <v>21</v>
      </c>
      <c r="B5" s="8">
        <f>COUNTIF(tbl_hr[Department], "Engineering")</f>
        <v>13</v>
      </c>
      <c r="C5" s="8">
        <f>COUNTIFS(tbl_hr[Department], "Engineering", tbl_hr[Attrition], "Yes")</f>
        <v>0</v>
      </c>
      <c r="D5" s="8">
        <f t="shared" si="0"/>
        <v>0</v>
      </c>
      <c r="F5" s="18" t="s">
        <v>91</v>
      </c>
      <c r="G5" s="19"/>
      <c r="H5" s="7" t="str">
        <f>INDEX(A9:A11, MATCH(MAX(D9:D11), D9:D11, 0))</f>
        <v>Medium</v>
      </c>
    </row>
    <row r="6" spans="1:8" x14ac:dyDescent="0.25">
      <c r="A6" s="12"/>
      <c r="B6" s="12"/>
      <c r="C6" s="12"/>
      <c r="D6" s="12"/>
      <c r="F6" s="18" t="s">
        <v>92</v>
      </c>
      <c r="G6" s="19"/>
      <c r="H6" s="7" t="str">
        <f>INDEX(A15:A18, MATCH(MAX(D15:D18), D15:D18, 0))</f>
        <v>3-5 Years</v>
      </c>
    </row>
    <row r="7" spans="1:8" ht="17.399999999999999" x14ac:dyDescent="0.3">
      <c r="A7" s="13" t="s">
        <v>76</v>
      </c>
      <c r="B7" s="14"/>
      <c r="C7" s="14"/>
      <c r="D7" s="15"/>
      <c r="F7" s="18" t="s">
        <v>93</v>
      </c>
      <c r="G7" s="19"/>
      <c r="H7" s="7" t="str">
        <f>INDEX(_xlfn.ANCHORARRAY(A22), MATCH(MAX(_xlfn.ANCHORARRAY(D22)),_xlfn.ANCHORARRAY( D22), 0))</f>
        <v>Sarah Johnson</v>
      </c>
    </row>
    <row r="8" spans="1:8" x14ac:dyDescent="0.25">
      <c r="A8" s="2" t="s">
        <v>77</v>
      </c>
      <c r="B8" s="5" t="s">
        <v>73</v>
      </c>
      <c r="C8" s="5" t="s">
        <v>74</v>
      </c>
      <c r="D8" s="5" t="s">
        <v>75</v>
      </c>
    </row>
    <row r="9" spans="1:8" x14ac:dyDescent="0.25">
      <c r="A9" s="4" t="s">
        <v>12</v>
      </c>
      <c r="B9" s="8">
        <f>COUNTIF(tbl_hr[Salary_Band], A9)</f>
        <v>19</v>
      </c>
      <c r="C9" s="8">
        <f>COUNTIFS(tbl_hr[Salary_Band], A9, tbl_hr[Attrition], "Yes")</f>
        <v>2</v>
      </c>
      <c r="D9" s="8">
        <f>C9/B9</f>
        <v>0.10526315789473684</v>
      </c>
    </row>
    <row r="10" spans="1:8" x14ac:dyDescent="0.25">
      <c r="A10" s="4" t="s">
        <v>17</v>
      </c>
      <c r="B10" s="8">
        <f>COUNTIF(tbl_hr[Salary_Band], A10)</f>
        <v>21</v>
      </c>
      <c r="C10" s="8">
        <f>COUNTIFS(tbl_hr[Salary_Band], A10, tbl_hr[Attrition], "Yes")</f>
        <v>10</v>
      </c>
      <c r="D10" s="8">
        <f t="shared" ref="D10:D11" si="1">C10/B10</f>
        <v>0.47619047619047616</v>
      </c>
    </row>
    <row r="11" spans="1:8" x14ac:dyDescent="0.25">
      <c r="A11" s="4" t="s">
        <v>23</v>
      </c>
      <c r="B11" s="8">
        <f>COUNTIF(tbl_hr[Salary_Band], A11)</f>
        <v>10</v>
      </c>
      <c r="C11" s="8">
        <f>COUNTIFS(tbl_hr[Salary_Band], A11, tbl_hr[Attrition], "Yes")</f>
        <v>4</v>
      </c>
      <c r="D11" s="8">
        <f t="shared" si="1"/>
        <v>0.4</v>
      </c>
    </row>
    <row r="12" spans="1:8" x14ac:dyDescent="0.25">
      <c r="A12" s="12"/>
      <c r="B12" s="12"/>
      <c r="C12" s="12"/>
      <c r="D12" s="12"/>
    </row>
    <row r="13" spans="1:8" ht="17.399999999999999" x14ac:dyDescent="0.3">
      <c r="A13" s="13" t="s">
        <v>78</v>
      </c>
      <c r="B13" s="14"/>
      <c r="C13" s="14"/>
      <c r="D13" s="15"/>
    </row>
    <row r="14" spans="1:8" x14ac:dyDescent="0.25">
      <c r="A14" s="2" t="s">
        <v>79</v>
      </c>
      <c r="B14" s="5" t="s">
        <v>73</v>
      </c>
      <c r="C14" s="5" t="s">
        <v>74</v>
      </c>
      <c r="D14" s="5" t="s">
        <v>75</v>
      </c>
    </row>
    <row r="15" spans="1:8" x14ac:dyDescent="0.25">
      <c r="A15" s="4" t="s">
        <v>80</v>
      </c>
      <c r="B15" s="8">
        <f>COUNTIF(tbl_hr[Tenure_Yrs], "&lt;1")</f>
        <v>0</v>
      </c>
      <c r="C15" s="8">
        <f>COUNTIFS(tbl_hr[Tenure_Yrs], "&lt;1", tbl_hr[Attrition], "Yes")</f>
        <v>0</v>
      </c>
      <c r="D15" s="8">
        <f>COUNTIFS(tbl_hr[Tenure_Yrs], "&lt;1")</f>
        <v>0</v>
      </c>
    </row>
    <row r="16" spans="1:8" x14ac:dyDescent="0.25">
      <c r="A16" s="4" t="s">
        <v>81</v>
      </c>
      <c r="B16" s="8">
        <f>COUNTIF(tbl_hr[Tenure_Yrs], "&lt;=2")</f>
        <v>20</v>
      </c>
      <c r="C16" s="8">
        <f>COUNTIFS(tbl_hr[Tenure_Yrs], "&gt;=1", tbl_hr[Tenure_Yrs], "&lt;=2", tbl_hr[Attrition], "Yes")</f>
        <v>2</v>
      </c>
      <c r="D16" s="8">
        <f>COUNTIFS(tbl_hr[Tenure_Yrs], "&gt;=1", tbl_hr[Tenure_Yrs], "&lt;=2")</f>
        <v>20</v>
      </c>
    </row>
    <row r="17" spans="1:4" x14ac:dyDescent="0.25">
      <c r="A17" s="4" t="s">
        <v>82</v>
      </c>
      <c r="B17" s="8">
        <f>COUNTIF(tbl_hr[Tenure_Yrs], "&lt;=5")</f>
        <v>47</v>
      </c>
      <c r="C17" s="8">
        <f>COUNTIFS(tbl_hr[Tenure_Yrs], "&gt;=3", tbl_hr[Tenure_Yrs], "&lt;=5", tbl_hr[Attrition], "Yes")</f>
        <v>14</v>
      </c>
      <c r="D17" s="8">
        <f>COUNTIFS(tbl_hr[Tenure_Yrs], "&gt;=3", tbl_hr[Tenure_Yrs], "&lt;=5")</f>
        <v>27</v>
      </c>
    </row>
    <row r="18" spans="1:4" x14ac:dyDescent="0.25">
      <c r="A18" s="4" t="s">
        <v>83</v>
      </c>
      <c r="B18" s="8">
        <f>COUNTIF(tbl_hr[Tenure_Yrs], "&gt;=6")</f>
        <v>3</v>
      </c>
      <c r="C18" s="8">
        <f>COUNTIFS(tbl_hr[Tenure_Yrs], "&gt;=6", tbl_hr[Attrition], "Yes")</f>
        <v>0</v>
      </c>
      <c r="D18" s="8">
        <f>COUNTIFS(tbl_hr[Tenure_Yrs], "&gt;=6")</f>
        <v>3</v>
      </c>
    </row>
    <row r="19" spans="1:4" x14ac:dyDescent="0.25">
      <c r="A19" s="12"/>
      <c r="B19" s="12"/>
      <c r="C19" s="12"/>
      <c r="D19" s="12"/>
    </row>
    <row r="20" spans="1:4" ht="17.399999999999999" x14ac:dyDescent="0.3">
      <c r="A20" s="13" t="s">
        <v>84</v>
      </c>
      <c r="B20" s="14"/>
      <c r="C20" s="14"/>
      <c r="D20" s="15"/>
    </row>
    <row r="21" spans="1:4" x14ac:dyDescent="0.25">
      <c r="A21" s="2" t="s">
        <v>85</v>
      </c>
      <c r="B21" s="5" t="s">
        <v>86</v>
      </c>
      <c r="C21" s="5" t="s">
        <v>87</v>
      </c>
      <c r="D21" s="5" t="s">
        <v>75</v>
      </c>
    </row>
    <row r="22" spans="1:4" x14ac:dyDescent="0.25">
      <c r="A22" s="4" t="str" cm="1">
        <f t="array" ref="A22:A25">_xlfn._xlws.SORT(_xlfn.UNIQUE(tbl_hr[Manager]))</f>
        <v>David Kim</v>
      </c>
      <c r="B22" s="8" cm="1">
        <f t="array" ref="B22:B25">COUNTIF(tbl_hr[Manager],_xlfn.ANCHORARRAY( A22))</f>
        <v>13</v>
      </c>
      <c r="C22" s="8" cm="1">
        <f t="array" ref="C22:C25">COUNTIFS(tbl_hr[Manager],_xlfn.ANCHORARRAY( A22), tbl_hr[Attrition], "Yes")</f>
        <v>0</v>
      </c>
      <c r="D22" s="8" cm="1">
        <f t="array" ref="D22:D25">_xlfn.ANCHORARRAY(C22)/_xlfn.ANCHORARRAY(B22)</f>
        <v>0</v>
      </c>
    </row>
    <row r="23" spans="1:4" x14ac:dyDescent="0.25">
      <c r="A23" s="4" t="str">
        <v>Lisa Wong</v>
      </c>
      <c r="B23" s="8">
        <v>13</v>
      </c>
      <c r="C23" s="8">
        <v>4</v>
      </c>
      <c r="D23" s="8">
        <v>0.30769230769230771</v>
      </c>
    </row>
    <row r="24" spans="1:4" x14ac:dyDescent="0.25">
      <c r="A24" s="4" t="str">
        <v>Robert Chen</v>
      </c>
      <c r="B24" s="8">
        <v>13</v>
      </c>
      <c r="C24" s="8">
        <v>4</v>
      </c>
      <c r="D24" s="8">
        <v>0.30769230769230771</v>
      </c>
    </row>
    <row r="25" spans="1:4" x14ac:dyDescent="0.25">
      <c r="A25" s="4" t="str">
        <v>Sarah Johnson</v>
      </c>
      <c r="B25" s="8">
        <v>11</v>
      </c>
      <c r="C25" s="8">
        <v>8</v>
      </c>
      <c r="D25" s="8">
        <v>0.72727272727272729</v>
      </c>
    </row>
  </sheetData>
  <mergeCells count="13">
    <mergeCell ref="A20:D20"/>
    <mergeCell ref="F1:H1"/>
    <mergeCell ref="F4:G4"/>
    <mergeCell ref="F5:G5"/>
    <mergeCell ref="F6:G6"/>
    <mergeCell ref="F7:G7"/>
    <mergeCell ref="F3:H3"/>
    <mergeCell ref="A6:D6"/>
    <mergeCell ref="A12:D12"/>
    <mergeCell ref="A19:D19"/>
    <mergeCell ref="A1:D1"/>
    <mergeCell ref="A7:D7"/>
    <mergeCell ref="A13:D13"/>
  </mergeCells>
  <conditionalFormatting sqref="D3:D5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">
      <colorScale>
        <cfvo type="min"/>
        <cfvo type="max"/>
        <color rgb="FFFF7128"/>
        <color rgb="FFFFEF9C"/>
      </colorScale>
    </cfRule>
  </conditionalFormatting>
  <conditionalFormatting sqref="D9:D11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5:D18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2:D25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HR_data</vt:lpstr>
      <vt:lpstr>HR_summary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lakshika sharma</dc:creator>
  <cp:lastModifiedBy>lakshika sharma</cp:lastModifiedBy>
  <dcterms:created xsi:type="dcterms:W3CDTF">2026-05-04T16:23:14Z</dcterms:created>
  <dcterms:modified xsi:type="dcterms:W3CDTF">2026-05-05T07:38:08Z</dcterms:modified>
</cp:coreProperties>
</file>